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Summary" sheetId="2" state="visible" r:id="rId4"/>
    <sheet name="Cold vs War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<sst xmlns="http://schemas.openxmlformats.org/spreadsheetml/2006/main" count="155" uniqueCount="48">
  <si>
    <r>
      <rPr>
        <b val="true"/>
        <sz val="14"/>
        <rFont val="Arial"/>
        <family val="0"/>
        <charset val="1"/>
      </rPr>
      <t xml:space="preserve">CI </t>
    </r>
    <r>
      <rPr>
        <b val="true"/>
        <sz val="14"/>
        <rFont val="Noto Sans CJK SC"/>
        <family val="2"/>
      </rPr>
      <t xml:space="preserve">파이프라인 반복 측정 — 원본 타임스탬프</t>
    </r>
  </si>
  <si>
    <t xml:space="preserve">브랜치: main · 트리거: workflow_dispatch · 워크플로: CI Security Pipeline · 시각 기준: UTC</t>
  </si>
  <si>
    <t xml:space="preserve">G~H열: KST = UTC + 9시간 (D~E열 UTC 값 기준 수식)</t>
  </si>
  <si>
    <t xml:space="preserve">Job</t>
  </si>
  <si>
    <t xml:space="preserve">Run</t>
  </si>
  <si>
    <t xml:space="preserve">Run ID</t>
  </si>
  <si>
    <t xml:space="preserve">Started At (UTC)</t>
  </si>
  <si>
    <t xml:space="preserve">Completed At (UTC)</t>
  </si>
  <si>
    <t xml:space="preserve">Duration (sec)</t>
  </si>
  <si>
    <t xml:space="preserve">Started At (KST)</t>
  </si>
  <si>
    <t xml:space="preserve">Completed At (KST)</t>
  </si>
  <si>
    <t xml:space="preserve">Gitleaks Secret Scan</t>
  </si>
  <si>
    <t xml:space="preserve">Run1</t>
  </si>
  <si>
    <t xml:space="preserve">36962044842</t>
  </si>
  <si>
    <t xml:space="preserve">Run2</t>
  </si>
  <si>
    <t xml:space="preserve">36962408617</t>
  </si>
  <si>
    <t xml:space="preserve">Run3</t>
  </si>
  <si>
    <t xml:space="preserve">36962777702</t>
  </si>
  <si>
    <t xml:space="preserve">Run4</t>
  </si>
  <si>
    <t xml:space="preserve">36963151413</t>
  </si>
  <si>
    <t xml:space="preserve">Run5</t>
  </si>
  <si>
    <t xml:space="preserve">36963520182</t>
  </si>
  <si>
    <t xml:space="preserve">Checkov + tfsec</t>
  </si>
  <si>
    <t xml:space="preserve">SBOM Diff and Risk Scan</t>
  </si>
  <si>
    <t xml:space="preserve">Build Docker Image</t>
  </si>
  <si>
    <t xml:space="preserve">Trivy Image Scan</t>
  </si>
  <si>
    <t xml:space="preserve">Push Image to ECR</t>
  </si>
  <si>
    <t xml:space="preserve">Cosign Keyless Sign</t>
  </si>
  <si>
    <r>
      <rPr>
        <b val="true"/>
        <sz val="14"/>
        <rFont val="Arial"/>
        <family val="0"/>
        <charset val="1"/>
      </rPr>
      <t xml:space="preserve">CI </t>
    </r>
    <r>
      <rPr>
        <b val="true"/>
        <sz val="14"/>
        <rFont val="Noto Sans CJK SC"/>
        <family val="2"/>
      </rPr>
      <t xml:space="preserve">파이프라인 </t>
    </r>
    <r>
      <rPr>
        <b val="true"/>
        <sz val="14"/>
        <rFont val="Arial"/>
        <family val="0"/>
        <charset val="1"/>
      </rPr>
      <t xml:space="preserve">Job</t>
    </r>
    <r>
      <rPr>
        <b val="true"/>
        <sz val="14"/>
        <rFont val="Noto Sans CJK SC"/>
        <family val="2"/>
      </rPr>
      <t xml:space="preserve">별 소요 시간 — </t>
    </r>
    <r>
      <rPr>
        <b val="true"/>
        <sz val="14"/>
        <rFont val="Arial"/>
        <family val="0"/>
        <charset val="1"/>
      </rPr>
      <t xml:space="preserve">5</t>
    </r>
    <r>
      <rPr>
        <b val="true"/>
        <sz val="14"/>
        <rFont val="Noto Sans CJK SC"/>
        <family val="2"/>
      </rPr>
      <t xml:space="preserve">회 반복 측정</t>
    </r>
  </si>
  <si>
    <t xml:space="preserve">단위: 초(sec) · 평균/표준편차는 Raw Data 시트 값을 SUMIFS로 집계한 수식</t>
  </si>
  <si>
    <t xml:space="preserve">Run1 (Cold)</t>
  </si>
  <si>
    <t xml:space="preserve">Run2 (Warm)</t>
  </si>
  <si>
    <t xml:space="preserve">Run3 (Warm)</t>
  </si>
  <si>
    <t xml:space="preserve">Run4 (Warm)</t>
  </si>
  <si>
    <t xml:space="preserve">Run5 (Warm)</t>
  </si>
  <si>
    <t xml:space="preserve">평균</t>
  </si>
  <si>
    <t xml:space="preserve">표준편차(모집단)</t>
  </si>
  <si>
    <r>
      <rPr>
        <b val="true"/>
        <sz val="11"/>
        <rFont val="Arial"/>
        <family val="0"/>
        <charset val="1"/>
      </rPr>
      <t xml:space="preserve">Job </t>
    </r>
    <r>
      <rPr>
        <b val="true"/>
        <sz val="11"/>
        <rFont val="Noto Sans CJK SC"/>
        <family val="2"/>
      </rPr>
      <t xml:space="preserve">소요시간 합계</t>
    </r>
  </si>
  <si>
    <t xml:space="preserve">전체 파이프라인 (시작~종료, wall-clock)</t>
  </si>
  <si>
    <r>
      <rPr>
        <i val="true"/>
        <sz val="10"/>
        <rFont val="Arial"/>
        <family val="0"/>
        <charset val="1"/>
      </rPr>
      <t xml:space="preserve">Job</t>
    </r>
    <r>
      <rPr>
        <i val="true"/>
        <sz val="10"/>
        <rFont val="Noto Sans CJK SC"/>
        <family val="2"/>
      </rPr>
      <t xml:space="preserve">간 대기</t>
    </r>
    <r>
      <rPr>
        <i val="true"/>
        <sz val="10"/>
        <rFont val="Arial"/>
        <family val="0"/>
        <charset val="1"/>
      </rPr>
      <t xml:space="preserve">(</t>
    </r>
    <r>
      <rPr>
        <i val="true"/>
        <sz val="10"/>
        <rFont val="Noto Sans CJK SC"/>
        <family val="2"/>
      </rPr>
      <t xml:space="preserve">스케줄링</t>
    </r>
    <r>
      <rPr>
        <i val="true"/>
        <sz val="10"/>
        <rFont val="Arial"/>
        <family val="0"/>
        <charset val="1"/>
      </rPr>
      <t xml:space="preserve">) </t>
    </r>
    <r>
      <rPr>
        <i val="true"/>
        <sz val="10"/>
        <rFont val="Noto Sans CJK SC"/>
        <family val="2"/>
      </rPr>
      <t xml:space="preserve">오버헤드</t>
    </r>
  </si>
  <si>
    <t xml:space="preserve">주: Run1은 Trivy DB 캐시가 없는 최초(콜드) 실행, Run2~5는 당일 재실행(웜)으로 캐시 적중 상태입니다.</t>
  </si>
  <si>
    <t xml:space="preserve">표준편차는 모집단 표준편차(STDEVP)를 사용했습니다. 출처: GitHub Actions `gh run view --json jobs` (Run ID는 Raw Data 시트 참고).</t>
  </si>
  <si>
    <t xml:space="preserve">콜드(최초 실행) vs 웜(캐시 적중) 비교</t>
  </si>
  <si>
    <r>
      <rPr>
        <i val="true"/>
        <sz val="10"/>
        <color rgb="FF555555"/>
        <rFont val="Arial"/>
        <family val="0"/>
        <charset val="1"/>
      </rPr>
      <t xml:space="preserve">Summary </t>
    </r>
    <r>
      <rPr>
        <i val="true"/>
        <sz val="10"/>
        <color rgb="FF555555"/>
        <rFont val="Noto Sans CJK SC"/>
        <family val="2"/>
      </rPr>
      <t xml:space="preserve">시트 값을 참조한 수식 — </t>
    </r>
    <r>
      <rPr>
        <i val="true"/>
        <sz val="10"/>
        <color rgb="FF555555"/>
        <rFont val="Arial"/>
        <family val="0"/>
        <charset val="1"/>
      </rPr>
      <t xml:space="preserve">Run2~5(</t>
    </r>
    <r>
      <rPr>
        <i val="true"/>
        <sz val="10"/>
        <color rgb="FF555555"/>
        <rFont val="Noto Sans CJK SC"/>
        <family val="2"/>
      </rPr>
      <t xml:space="preserve">웜</t>
    </r>
    <r>
      <rPr>
        <i val="true"/>
        <sz val="10"/>
        <color rgb="FF555555"/>
        <rFont val="Arial"/>
        <family val="0"/>
        <charset val="1"/>
      </rPr>
      <t xml:space="preserve">) </t>
    </r>
    <r>
      <rPr>
        <i val="true"/>
        <sz val="10"/>
        <color rgb="FF555555"/>
        <rFont val="Noto Sans CJK SC"/>
        <family val="2"/>
      </rPr>
      <t xml:space="preserve">평균과 </t>
    </r>
    <r>
      <rPr>
        <i val="true"/>
        <sz val="10"/>
        <color rgb="FF555555"/>
        <rFont val="Arial"/>
        <family val="0"/>
        <charset val="1"/>
      </rPr>
      <t xml:space="preserve">Run1(</t>
    </r>
    <r>
      <rPr>
        <i val="true"/>
        <sz val="10"/>
        <color rgb="FF555555"/>
        <rFont val="Noto Sans CJK SC"/>
        <family val="2"/>
      </rPr>
      <t xml:space="preserve">콜드</t>
    </r>
    <r>
      <rPr>
        <i val="true"/>
        <sz val="10"/>
        <color rgb="FF555555"/>
        <rFont val="Arial"/>
        <family val="0"/>
        <charset val="1"/>
      </rPr>
      <t xml:space="preserve">)</t>
    </r>
    <r>
      <rPr>
        <i val="true"/>
        <sz val="10"/>
        <color rgb="FF555555"/>
        <rFont val="Noto Sans CJK SC"/>
        <family val="2"/>
      </rPr>
      <t xml:space="preserve">을 비교</t>
    </r>
  </si>
  <si>
    <r>
      <rPr>
        <b val="true"/>
        <sz val="11"/>
        <color rgb="FFFFFFFF"/>
        <rFont val="Arial"/>
        <family val="0"/>
        <charset val="1"/>
      </rPr>
      <t xml:space="preserve">Run2~5 </t>
    </r>
    <r>
      <rPr>
        <b val="true"/>
        <sz val="11"/>
        <color rgb="FFFFFFFF"/>
        <rFont val="Noto Sans CJK SC"/>
        <family val="2"/>
      </rPr>
      <t xml:space="preserve">평균 </t>
    </r>
    <r>
      <rPr>
        <b val="true"/>
        <sz val="11"/>
        <color rgb="FFFFFFFF"/>
        <rFont val="Arial"/>
        <family val="0"/>
        <charset val="1"/>
      </rPr>
      <t xml:space="preserve">(Warm)</t>
    </r>
  </si>
  <si>
    <t xml:space="preserve">차이 (Cold-Warm)</t>
  </si>
  <si>
    <t xml:space="preserve">차이 비율</t>
  </si>
  <si>
    <t xml:space="preserve">해석: 콜드-웜 차이는 대부분 Trivy Image Scan의 DB 최초 다운로드 비용에서 발생합니다 (날짜 기준 캐시, actions/cache@v4).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</si>
</sst>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h:mm:ss"/>
    <numFmt numFmtId="166" formatCode="0"/>
    <numFmt numFmtId="167" formatCode="0.0"/>
    <numFmt numFmtId="168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10"/>
      <color rgb="FF555555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Noto Sans CJK SC"/>
      <family val="2"/>
      <charset val="1"/>
    </font>
    <font>
      <i val="true"/>
      <sz val="10"/>
      <name val="Arial"/>
      <family val="0"/>
      <charset val="1"/>
    </font>
    <font>
      <i val="true"/>
      <sz val="10"/>
      <name val="Noto Sans CJK SC"/>
      <family val="2"/>
    </font>
    <font>
      <i val="true"/>
      <sz val="10"/>
      <color rgb="FF555555"/>
      <name val="Arial"/>
      <family val="0"/>
      <charset val="1"/>
    </font>
    <font>
      <i val="true"/>
      <sz val="9"/>
      <color rgb="FF777777"/>
      <name val="Noto Sans CJK SC"/>
      <family val="2"/>
      <charset val="1"/>
    </font>
    <font>
      <b val="true"/>
      <sz val="14"/>
      <name val="Noto Sans CJK SC"/>
      <family val="2"/>
      <charset val="1"/>
    </font>
    <font>
      <i val="true"/>
      <sz val="10"/>
      <color rgb="FF555555"/>
      <name val="Noto Sans CJK SC"/>
      <family val="2"/>
    </font>
    <font>
      <b val="true"/>
      <sz val="11"/>
      <color rgb="FFFFFFFF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3C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3C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5" min="4" style="1" width="20"/>
    <col collapsed="false" customWidth="true" hidden="false" outlineLevel="0" max="6" min="6" style="1" width="16"/>
    <col collapsed="false" customWidth="true" hidden="false" outlineLevel="0" max="7" min="7" style="0" width="20"/>
    <col collapsed="false" customWidth="true" hidden="false" outlineLevel="0" max="8" min="8" style="0" width="13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4" customFormat="false" ht="15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</row>
    <row r="5" customFormat="false" ht="15" hidden="false" customHeight="true" outlineLevel="0" collapsed="false">
      <c r="A5" s="6" t="s">
        <v>11</v>
      </c>
      <c r="B5" s="6" t="s">
        <v>12</v>
      </c>
      <c r="C5" s="6" t="s">
        <v>13</v>
      </c>
      <c r="D5" s="7" t="n">
        <v>46297.1612847222</v>
      </c>
      <c r="E5" s="7" t="n">
        <v>46297.1613310185</v>
      </c>
      <c r="F5" s="8" t="n">
        <f aca="false">(E5-D5)*86400</f>
        <v>4</v>
      </c>
      <c r="G5" s="7" t="n">
        <f aca="false">D5+9/24</f>
        <v>46297.5362847222</v>
      </c>
      <c r="H5" s="7" t="n">
        <f aca="false">E5+9/24</f>
        <v>46297.5363310185</v>
      </c>
    </row>
    <row r="6" customFormat="false" ht="15" hidden="false" customHeight="true" outlineLevel="0" collapsed="false">
      <c r="A6" s="6" t="s">
        <v>11</v>
      </c>
      <c r="B6" s="6" t="s">
        <v>14</v>
      </c>
      <c r="C6" s="6" t="s">
        <v>15</v>
      </c>
      <c r="D6" s="7" t="n">
        <v>46297.1647800926</v>
      </c>
      <c r="E6" s="7" t="n">
        <v>46297.164837963</v>
      </c>
      <c r="F6" s="8" t="n">
        <f aca="false">(E6-D6)*86400</f>
        <v>5</v>
      </c>
      <c r="G6" s="7" t="n">
        <f aca="false">D6+9/24</f>
        <v>46297.5397800926</v>
      </c>
      <c r="H6" s="7" t="n">
        <f aca="false">E6+9/24</f>
        <v>46297.539837963</v>
      </c>
    </row>
    <row r="7" customFormat="false" ht="15" hidden="false" customHeight="true" outlineLevel="0" collapsed="false">
      <c r="A7" s="6" t="s">
        <v>11</v>
      </c>
      <c r="B7" s="6" t="s">
        <v>16</v>
      </c>
      <c r="C7" s="6" t="s">
        <v>17</v>
      </c>
      <c r="D7" s="7" t="n">
        <v>46297.1683101852</v>
      </c>
      <c r="E7" s="7" t="n">
        <v>46297.1683796296</v>
      </c>
      <c r="F7" s="8" t="n">
        <f aca="false">(E7-D7)*86400</f>
        <v>6</v>
      </c>
      <c r="G7" s="7" t="n">
        <f aca="false">D7+9/24</f>
        <v>46297.5433101852</v>
      </c>
      <c r="H7" s="7" t="n">
        <f aca="false">E7+9/24</f>
        <v>46297.5433796296</v>
      </c>
    </row>
    <row r="8" customFormat="false" ht="15" hidden="false" customHeight="true" outlineLevel="0" collapsed="false">
      <c r="A8" s="6" t="s">
        <v>11</v>
      </c>
      <c r="B8" s="6" t="s">
        <v>18</v>
      </c>
      <c r="C8" s="6" t="s">
        <v>19</v>
      </c>
      <c r="D8" s="7" t="n">
        <v>46297.1718055556</v>
      </c>
      <c r="E8" s="7" t="n">
        <v>46297.1718634259</v>
      </c>
      <c r="F8" s="8" t="n">
        <f aca="false">(E8-D8)*86400</f>
        <v>5</v>
      </c>
      <c r="G8" s="7" t="n">
        <f aca="false">D8+9/24</f>
        <v>46297.5468055556</v>
      </c>
      <c r="H8" s="7" t="n">
        <f aca="false">E8+9/24</f>
        <v>46297.5468634259</v>
      </c>
    </row>
    <row r="9" customFormat="false" ht="15" hidden="false" customHeight="true" outlineLevel="0" collapsed="false">
      <c r="A9" s="6" t="s">
        <v>11</v>
      </c>
      <c r="B9" s="6" t="s">
        <v>20</v>
      </c>
      <c r="C9" s="6" t="s">
        <v>21</v>
      </c>
      <c r="D9" s="7" t="n">
        <v>46297.1753240741</v>
      </c>
      <c r="E9" s="7" t="n">
        <v>46297.1753819444</v>
      </c>
      <c r="F9" s="8" t="n">
        <f aca="false">(E9-D9)*86400</f>
        <v>5</v>
      </c>
      <c r="G9" s="7" t="n">
        <f aca="false">D9+9/24</f>
        <v>46297.5503240741</v>
      </c>
      <c r="H9" s="7" t="n">
        <f aca="false">E9+9/24</f>
        <v>46297.5503819444</v>
      </c>
    </row>
    <row r="10" customFormat="false" ht="15" hidden="false" customHeight="true" outlineLevel="0" collapsed="false">
      <c r="A10" s="6" t="s">
        <v>22</v>
      </c>
      <c r="B10" s="6" t="s">
        <v>12</v>
      </c>
      <c r="C10" s="6" t="s">
        <v>13</v>
      </c>
      <c r="D10" s="7" t="n">
        <v>46297.1613773148</v>
      </c>
      <c r="E10" s="7" t="n">
        <v>46297.1619675926</v>
      </c>
      <c r="F10" s="8" t="n">
        <f aca="false">(E10-D10)*86400</f>
        <v>51</v>
      </c>
      <c r="G10" s="7" t="n">
        <f aca="false">D10+9/24</f>
        <v>46297.5363773148</v>
      </c>
      <c r="H10" s="7" t="n">
        <f aca="false">E10+9/24</f>
        <v>46297.5369675926</v>
      </c>
    </row>
    <row r="11" customFormat="false" ht="15" hidden="false" customHeight="true" outlineLevel="0" collapsed="false">
      <c r="A11" s="6" t="s">
        <v>22</v>
      </c>
      <c r="B11" s="6" t="s">
        <v>14</v>
      </c>
      <c r="C11" s="6" t="s">
        <v>15</v>
      </c>
      <c r="D11" s="7" t="n">
        <v>46297.1648611111</v>
      </c>
      <c r="E11" s="7" t="n">
        <v>46297.1653125</v>
      </c>
      <c r="F11" s="8" t="n">
        <f aca="false">(E11-D11)*86400</f>
        <v>39</v>
      </c>
      <c r="G11" s="7" t="n">
        <f aca="false">D11+9/24</f>
        <v>46297.5398611111</v>
      </c>
      <c r="H11" s="7" t="n">
        <f aca="false">E11+9/24</f>
        <v>46297.5403125</v>
      </c>
    </row>
    <row r="12" customFormat="false" ht="15" hidden="false" customHeight="true" outlineLevel="0" collapsed="false">
      <c r="A12" s="6" t="s">
        <v>22</v>
      </c>
      <c r="B12" s="6" t="s">
        <v>16</v>
      </c>
      <c r="C12" s="6" t="s">
        <v>17</v>
      </c>
      <c r="D12" s="7" t="n">
        <v>46297.1684027778</v>
      </c>
      <c r="E12" s="7" t="n">
        <v>46297.1689814815</v>
      </c>
      <c r="F12" s="8" t="n">
        <f aca="false">(E12-D12)*86400</f>
        <v>50</v>
      </c>
      <c r="G12" s="7" t="n">
        <f aca="false">D12+9/24</f>
        <v>46297.5434027778</v>
      </c>
      <c r="H12" s="7" t="n">
        <f aca="false">E12+9/24</f>
        <v>46297.5439814815</v>
      </c>
    </row>
    <row r="13" customFormat="false" ht="15" hidden="false" customHeight="true" outlineLevel="0" collapsed="false">
      <c r="A13" s="6" t="s">
        <v>22</v>
      </c>
      <c r="B13" s="6" t="s">
        <v>18</v>
      </c>
      <c r="C13" s="6" t="s">
        <v>19</v>
      </c>
      <c r="D13" s="7" t="n">
        <v>46297.1718981482</v>
      </c>
      <c r="E13" s="7" t="n">
        <v>46297.1724537037</v>
      </c>
      <c r="F13" s="8" t="n">
        <f aca="false">(E13-D13)*86400</f>
        <v>48</v>
      </c>
      <c r="G13" s="7" t="n">
        <f aca="false">D13+9/24</f>
        <v>46297.5468981481</v>
      </c>
      <c r="H13" s="7" t="n">
        <f aca="false">E13+9/24</f>
        <v>46297.5474537037</v>
      </c>
    </row>
    <row r="14" customFormat="false" ht="15" hidden="false" customHeight="true" outlineLevel="0" collapsed="false">
      <c r="A14" s="6" t="s">
        <v>22</v>
      </c>
      <c r="B14" s="6" t="s">
        <v>20</v>
      </c>
      <c r="C14" s="6" t="s">
        <v>21</v>
      </c>
      <c r="D14" s="7" t="n">
        <v>46297.1754166667</v>
      </c>
      <c r="E14" s="7" t="n">
        <v>46297.1760532407</v>
      </c>
      <c r="F14" s="8" t="n">
        <f aca="false">(E14-D14)*86400</f>
        <v>55</v>
      </c>
      <c r="G14" s="7" t="n">
        <f aca="false">D14+9/24</f>
        <v>46297.5504166667</v>
      </c>
      <c r="H14" s="7" t="n">
        <f aca="false">E14+9/24</f>
        <v>46297.5510532407</v>
      </c>
    </row>
    <row r="15" customFormat="false" ht="15" hidden="false" customHeight="true" outlineLevel="0" collapsed="false">
      <c r="A15" s="6" t="s">
        <v>23</v>
      </c>
      <c r="B15" s="6" t="s">
        <v>12</v>
      </c>
      <c r="C15" s="6" t="s">
        <v>13</v>
      </c>
      <c r="D15" s="7" t="n">
        <v>46297.1619907407</v>
      </c>
      <c r="E15" s="7" t="n">
        <v>46297.1630324074</v>
      </c>
      <c r="F15" s="8" t="n">
        <f aca="false">(E15-D15)*86400</f>
        <v>90</v>
      </c>
      <c r="G15" s="7" t="n">
        <f aca="false">D15+9/24</f>
        <v>46297.5369907407</v>
      </c>
      <c r="H15" s="7" t="n">
        <f aca="false">E15+9/24</f>
        <v>46297.5380324074</v>
      </c>
    </row>
    <row r="16" customFormat="false" ht="15" hidden="false" customHeight="true" outlineLevel="0" collapsed="false">
      <c r="A16" s="6" t="s">
        <v>23</v>
      </c>
      <c r="B16" s="6" t="s">
        <v>14</v>
      </c>
      <c r="C16" s="6" t="s">
        <v>15</v>
      </c>
      <c r="D16" s="7" t="n">
        <v>46297.1653819445</v>
      </c>
      <c r="E16" s="7" t="n">
        <v>46297.1663888889</v>
      </c>
      <c r="F16" s="8" t="n">
        <f aca="false">(E16-D16)*86400</f>
        <v>87</v>
      </c>
      <c r="G16" s="7" t="n">
        <f aca="false">D16+9/24</f>
        <v>46297.5403819445</v>
      </c>
      <c r="H16" s="7" t="n">
        <f aca="false">E16+9/24</f>
        <v>46297.5413888889</v>
      </c>
    </row>
    <row r="17" customFormat="false" ht="15" hidden="false" customHeight="true" outlineLevel="0" collapsed="false">
      <c r="A17" s="6" t="s">
        <v>23</v>
      </c>
      <c r="B17" s="6" t="s">
        <v>16</v>
      </c>
      <c r="C17" s="6" t="s">
        <v>17</v>
      </c>
      <c r="D17" s="7" t="n">
        <v>46297.1690162037</v>
      </c>
      <c r="E17" s="7" t="n">
        <v>46297.1700694444</v>
      </c>
      <c r="F17" s="8" t="n">
        <f aca="false">(E17-D17)*86400</f>
        <v>91</v>
      </c>
      <c r="G17" s="7" t="n">
        <f aca="false">D17+9/24</f>
        <v>46297.5440162037</v>
      </c>
      <c r="H17" s="7" t="n">
        <f aca="false">E17+9/24</f>
        <v>46297.5450694444</v>
      </c>
    </row>
    <row r="18" customFormat="false" ht="15" hidden="false" customHeight="true" outlineLevel="0" collapsed="false">
      <c r="A18" s="6" t="s">
        <v>23</v>
      </c>
      <c r="B18" s="6" t="s">
        <v>18</v>
      </c>
      <c r="C18" s="6" t="s">
        <v>19</v>
      </c>
      <c r="D18" s="7" t="n">
        <v>46297.1724768519</v>
      </c>
      <c r="E18" s="7" t="n">
        <v>46297.1734953704</v>
      </c>
      <c r="F18" s="8" t="n">
        <f aca="false">(E18-D18)*86400</f>
        <v>88</v>
      </c>
      <c r="G18" s="7" t="n">
        <f aca="false">D18+9/24</f>
        <v>46297.5474768519</v>
      </c>
      <c r="H18" s="7" t="n">
        <f aca="false">E18+9/24</f>
        <v>46297.5484953704</v>
      </c>
    </row>
    <row r="19" customFormat="false" ht="15" hidden="false" customHeight="true" outlineLevel="0" collapsed="false">
      <c r="A19" s="6" t="s">
        <v>23</v>
      </c>
      <c r="B19" s="6" t="s">
        <v>20</v>
      </c>
      <c r="C19" s="6" t="s">
        <v>21</v>
      </c>
      <c r="D19" s="7" t="n">
        <v>46297.176087963</v>
      </c>
      <c r="E19" s="7" t="n">
        <v>46297.1770138889</v>
      </c>
      <c r="F19" s="8" t="n">
        <f aca="false">(E19-D19)*86400</f>
        <v>80</v>
      </c>
      <c r="G19" s="7" t="n">
        <f aca="false">D19+9/24</f>
        <v>46297.551087963</v>
      </c>
      <c r="H19" s="7" t="n">
        <f aca="false">E19+9/24</f>
        <v>46297.5520138889</v>
      </c>
    </row>
    <row r="20" customFormat="false" ht="15" hidden="false" customHeight="true" outlineLevel="0" collapsed="false">
      <c r="A20" s="6" t="s">
        <v>24</v>
      </c>
      <c r="B20" s="6" t="s">
        <v>12</v>
      </c>
      <c r="C20" s="6" t="s">
        <v>13</v>
      </c>
      <c r="D20" s="7" t="n">
        <v>46297.1630787037</v>
      </c>
      <c r="E20" s="7" t="n">
        <v>46297.1633449074</v>
      </c>
      <c r="F20" s="8" t="n">
        <f aca="false">(E20-D20)*86400</f>
        <v>23</v>
      </c>
      <c r="G20" s="7" t="n">
        <f aca="false">D20+9/24</f>
        <v>46297.5380787037</v>
      </c>
      <c r="H20" s="7" t="n">
        <f aca="false">E20+9/24</f>
        <v>46297.5383449074</v>
      </c>
    </row>
    <row r="21" customFormat="false" ht="15" hidden="false" customHeight="true" outlineLevel="0" collapsed="false">
      <c r="A21" s="6" t="s">
        <v>24</v>
      </c>
      <c r="B21" s="6" t="s">
        <v>14</v>
      </c>
      <c r="C21" s="6" t="s">
        <v>15</v>
      </c>
      <c r="D21" s="7" t="n">
        <v>46297.166412037</v>
      </c>
      <c r="E21" s="7" t="n">
        <v>46297.166724537</v>
      </c>
      <c r="F21" s="8" t="n">
        <f aca="false">(E21-D21)*86400</f>
        <v>27</v>
      </c>
      <c r="G21" s="7" t="n">
        <f aca="false">D21+9/24</f>
        <v>46297.541412037</v>
      </c>
      <c r="H21" s="7" t="n">
        <f aca="false">E21+9/24</f>
        <v>46297.541724537</v>
      </c>
    </row>
    <row r="22" customFormat="false" ht="15" hidden="false" customHeight="true" outlineLevel="0" collapsed="false">
      <c r="A22" s="6" t="s">
        <v>24</v>
      </c>
      <c r="B22" s="6" t="s">
        <v>16</v>
      </c>
      <c r="C22" s="6" t="s">
        <v>17</v>
      </c>
      <c r="D22" s="7" t="n">
        <v>46297.1701041667</v>
      </c>
      <c r="E22" s="7" t="n">
        <v>46297.1703935185</v>
      </c>
      <c r="F22" s="8" t="n">
        <f aca="false">(E22-D22)*86400</f>
        <v>25</v>
      </c>
      <c r="G22" s="7" t="n">
        <f aca="false">D22+9/24</f>
        <v>46297.5451041667</v>
      </c>
      <c r="H22" s="7" t="n">
        <f aca="false">E22+9/24</f>
        <v>46297.5453935185</v>
      </c>
    </row>
    <row r="23" customFormat="false" ht="15" hidden="false" customHeight="true" outlineLevel="0" collapsed="false">
      <c r="A23" s="6" t="s">
        <v>24</v>
      </c>
      <c r="B23" s="6" t="s">
        <v>18</v>
      </c>
      <c r="C23" s="6" t="s">
        <v>19</v>
      </c>
      <c r="D23" s="7" t="n">
        <v>46297.1735185185</v>
      </c>
      <c r="E23" s="7" t="n">
        <v>46297.1738310185</v>
      </c>
      <c r="F23" s="8" t="n">
        <f aca="false">(E23-D23)*86400</f>
        <v>27</v>
      </c>
      <c r="G23" s="7" t="n">
        <f aca="false">D23+9/24</f>
        <v>46297.5485185185</v>
      </c>
      <c r="H23" s="7" t="n">
        <f aca="false">E23+9/24</f>
        <v>46297.5488310185</v>
      </c>
    </row>
    <row r="24" customFormat="false" ht="15" hidden="false" customHeight="true" outlineLevel="0" collapsed="false">
      <c r="A24" s="6" t="s">
        <v>24</v>
      </c>
      <c r="B24" s="6" t="s">
        <v>20</v>
      </c>
      <c r="C24" s="6" t="s">
        <v>21</v>
      </c>
      <c r="D24" s="7" t="n">
        <v>46297.177037037</v>
      </c>
      <c r="E24" s="7" t="n">
        <v>46297.1772916667</v>
      </c>
      <c r="F24" s="8" t="n">
        <f aca="false">(E24-D24)*86400</f>
        <v>22</v>
      </c>
      <c r="G24" s="7" t="n">
        <f aca="false">D24+9/24</f>
        <v>46297.552037037</v>
      </c>
      <c r="H24" s="7" t="n">
        <f aca="false">E24+9/24</f>
        <v>46297.5522916667</v>
      </c>
    </row>
    <row r="25" customFormat="false" ht="15" hidden="false" customHeight="true" outlineLevel="0" collapsed="false">
      <c r="A25" s="6" t="s">
        <v>25</v>
      </c>
      <c r="B25" s="6" t="s">
        <v>12</v>
      </c>
      <c r="C25" s="6" t="s">
        <v>13</v>
      </c>
      <c r="D25" s="7" t="n">
        <v>46297.1633796296</v>
      </c>
      <c r="E25" s="7" t="n">
        <v>46297.1641319445</v>
      </c>
      <c r="F25" s="8" t="n">
        <f aca="false">(E25-D25)*86400</f>
        <v>65</v>
      </c>
      <c r="G25" s="7" t="n">
        <f aca="false">D25+9/24</f>
        <v>46297.5383796296</v>
      </c>
      <c r="H25" s="7" t="n">
        <f aca="false">E25+9/24</f>
        <v>46297.5391319444</v>
      </c>
    </row>
    <row r="26" customFormat="false" ht="15" hidden="false" customHeight="true" outlineLevel="0" collapsed="false">
      <c r="A26" s="6" t="s">
        <v>25</v>
      </c>
      <c r="B26" s="6" t="s">
        <v>14</v>
      </c>
      <c r="C26" s="6" t="s">
        <v>15</v>
      </c>
      <c r="D26" s="7" t="n">
        <v>46297.1667476852</v>
      </c>
      <c r="E26" s="7" t="n">
        <v>46297.1671990741</v>
      </c>
      <c r="F26" s="8" t="n">
        <f aca="false">(E26-D26)*86400</f>
        <v>39</v>
      </c>
      <c r="G26" s="7" t="n">
        <f aca="false">D26+9/24</f>
        <v>46297.5417476852</v>
      </c>
      <c r="H26" s="7" t="n">
        <f aca="false">E26+9/24</f>
        <v>46297.5421990741</v>
      </c>
    </row>
    <row r="27" customFormat="false" ht="15" hidden="false" customHeight="true" outlineLevel="0" collapsed="false">
      <c r="A27" s="6" t="s">
        <v>25</v>
      </c>
      <c r="B27" s="6" t="s">
        <v>16</v>
      </c>
      <c r="C27" s="6" t="s">
        <v>17</v>
      </c>
      <c r="D27" s="7" t="n">
        <v>46297.1704282407</v>
      </c>
      <c r="E27" s="7" t="n">
        <v>46297.1709722222</v>
      </c>
      <c r="F27" s="8" t="n">
        <f aca="false">(E27-D27)*86400</f>
        <v>47</v>
      </c>
      <c r="G27" s="7" t="n">
        <f aca="false">D27+9/24</f>
        <v>46297.5454282407</v>
      </c>
      <c r="H27" s="7" t="n">
        <f aca="false">E27+9/24</f>
        <v>46297.5459722222</v>
      </c>
    </row>
    <row r="28" customFormat="false" ht="15" hidden="false" customHeight="true" outlineLevel="0" collapsed="false">
      <c r="A28" s="6" t="s">
        <v>25</v>
      </c>
      <c r="B28" s="6" t="s">
        <v>18</v>
      </c>
      <c r="C28" s="6" t="s">
        <v>19</v>
      </c>
      <c r="D28" s="7" t="n">
        <v>46297.1738657407</v>
      </c>
      <c r="E28" s="7" t="n">
        <v>46297.1742708333</v>
      </c>
      <c r="F28" s="8" t="n">
        <f aca="false">(E28-D28)*86400</f>
        <v>35</v>
      </c>
      <c r="G28" s="7" t="n">
        <f aca="false">D28+9/24</f>
        <v>46297.5488657407</v>
      </c>
      <c r="H28" s="7" t="n">
        <f aca="false">E28+9/24</f>
        <v>46297.5492708333</v>
      </c>
    </row>
    <row r="29" customFormat="false" ht="15" hidden="false" customHeight="true" outlineLevel="0" collapsed="false">
      <c r="A29" s="6" t="s">
        <v>25</v>
      </c>
      <c r="B29" s="6" t="s">
        <v>20</v>
      </c>
      <c r="C29" s="6" t="s">
        <v>21</v>
      </c>
      <c r="D29" s="7" t="n">
        <v>46297.1773263889</v>
      </c>
      <c r="E29" s="7" t="n">
        <v>46297.1777777778</v>
      </c>
      <c r="F29" s="8" t="n">
        <f aca="false">(E29-D29)*86400</f>
        <v>39</v>
      </c>
      <c r="G29" s="7" t="n">
        <f aca="false">D29+9/24</f>
        <v>46297.5523263889</v>
      </c>
      <c r="H29" s="7" t="n">
        <f aca="false">E29+9/24</f>
        <v>46297.5527777778</v>
      </c>
    </row>
    <row r="30" customFormat="false" ht="15" hidden="false" customHeight="true" outlineLevel="0" collapsed="false">
      <c r="A30" s="6" t="s">
        <v>26</v>
      </c>
      <c r="B30" s="6" t="s">
        <v>12</v>
      </c>
      <c r="C30" s="6" t="s">
        <v>13</v>
      </c>
      <c r="D30" s="7" t="n">
        <v>46297.1641550926</v>
      </c>
      <c r="E30" s="7" t="n">
        <v>46297.164537037</v>
      </c>
      <c r="F30" s="8" t="n">
        <f aca="false">(E30-D30)*86400</f>
        <v>33</v>
      </c>
      <c r="G30" s="7" t="n">
        <f aca="false">D30+9/24</f>
        <v>46297.5391550926</v>
      </c>
      <c r="H30" s="7" t="n">
        <f aca="false">E30+9/24</f>
        <v>46297.539537037</v>
      </c>
    </row>
    <row r="31" customFormat="false" ht="15" hidden="false" customHeight="true" outlineLevel="0" collapsed="false">
      <c r="A31" s="6" t="s">
        <v>26</v>
      </c>
      <c r="B31" s="6" t="s">
        <v>14</v>
      </c>
      <c r="C31" s="6" t="s">
        <v>15</v>
      </c>
      <c r="D31" s="7" t="n">
        <v>46297.1672222222</v>
      </c>
      <c r="E31" s="7" t="n">
        <v>46297.1675810185</v>
      </c>
      <c r="F31" s="8" t="n">
        <f aca="false">(E31-D31)*86400</f>
        <v>31</v>
      </c>
      <c r="G31" s="7" t="n">
        <f aca="false">D31+9/24</f>
        <v>46297.5422222222</v>
      </c>
      <c r="H31" s="7" t="n">
        <f aca="false">E31+9/24</f>
        <v>46297.5425810185</v>
      </c>
    </row>
    <row r="32" customFormat="false" ht="15" hidden="false" customHeight="true" outlineLevel="0" collapsed="false">
      <c r="A32" s="6" t="s">
        <v>26</v>
      </c>
      <c r="B32" s="6" t="s">
        <v>16</v>
      </c>
      <c r="C32" s="6" t="s">
        <v>17</v>
      </c>
      <c r="D32" s="7" t="n">
        <v>46297.1710069445</v>
      </c>
      <c r="E32" s="7" t="n">
        <v>46297.1714351852</v>
      </c>
      <c r="F32" s="8" t="n">
        <f aca="false">(E32-D32)*86400</f>
        <v>36.99999859</v>
      </c>
      <c r="G32" s="7" t="n">
        <f aca="false">D32+9/24</f>
        <v>46297.5460069444</v>
      </c>
      <c r="H32" s="7" t="n">
        <f aca="false">E32+9/24</f>
        <v>46297.5464351852</v>
      </c>
    </row>
    <row r="33" customFormat="false" ht="15" hidden="false" customHeight="true" outlineLevel="0" collapsed="false">
      <c r="A33" s="6" t="s">
        <v>26</v>
      </c>
      <c r="B33" s="6" t="s">
        <v>18</v>
      </c>
      <c r="C33" s="6" t="s">
        <v>19</v>
      </c>
      <c r="D33" s="7" t="n">
        <v>46297.1743055556</v>
      </c>
      <c r="E33" s="7" t="n">
        <v>46297.1746643519</v>
      </c>
      <c r="F33" s="8" t="n">
        <f aca="false">(E33-D33)*86400</f>
        <v>31</v>
      </c>
      <c r="G33" s="7" t="n">
        <f aca="false">D33+9/24</f>
        <v>46297.5493055556</v>
      </c>
      <c r="H33" s="7" t="n">
        <f aca="false">E33+9/24</f>
        <v>46297.5496643519</v>
      </c>
    </row>
    <row r="34" customFormat="false" ht="15" hidden="false" customHeight="true" outlineLevel="0" collapsed="false">
      <c r="A34" s="6" t="s">
        <v>26</v>
      </c>
      <c r="B34" s="6" t="s">
        <v>20</v>
      </c>
      <c r="C34" s="6" t="s">
        <v>21</v>
      </c>
      <c r="D34" s="7" t="n">
        <v>46297.1778009259</v>
      </c>
      <c r="E34" s="7" t="n">
        <v>46297.1781481481</v>
      </c>
      <c r="F34" s="8" t="n">
        <f aca="false">(E34-D34)*86400</f>
        <v>29.99999884</v>
      </c>
      <c r="G34" s="7" t="n">
        <f aca="false">D34+9/24</f>
        <v>46297.5528009259</v>
      </c>
      <c r="H34" s="7" t="n">
        <f aca="false">E34+9/24</f>
        <v>46297.5531481481</v>
      </c>
    </row>
    <row r="35" customFormat="false" ht="15" hidden="false" customHeight="true" outlineLevel="0" collapsed="false">
      <c r="A35" s="6" t="s">
        <v>27</v>
      </c>
      <c r="B35" s="6" t="s">
        <v>12</v>
      </c>
      <c r="C35" s="6" t="s">
        <v>13</v>
      </c>
      <c r="D35" s="7" t="n">
        <v>46297.1645717593</v>
      </c>
      <c r="E35" s="7" t="n">
        <v>46297.1647337963</v>
      </c>
      <c r="F35" s="8" t="n">
        <f aca="false">(E35-D35)*86400</f>
        <v>14</v>
      </c>
      <c r="G35" s="7" t="n">
        <f aca="false">D35+9/24</f>
        <v>46297.5395717593</v>
      </c>
      <c r="H35" s="7" t="n">
        <f aca="false">E35+9/24</f>
        <v>46297.5397337963</v>
      </c>
    </row>
    <row r="36" customFormat="false" ht="15" hidden="false" customHeight="true" outlineLevel="0" collapsed="false">
      <c r="A36" s="6" t="s">
        <v>27</v>
      </c>
      <c r="B36" s="6" t="s">
        <v>14</v>
      </c>
      <c r="C36" s="6" t="s">
        <v>15</v>
      </c>
      <c r="D36" s="7" t="n">
        <v>46297.1676157407</v>
      </c>
      <c r="E36" s="7" t="n">
        <v>46297.1677662037</v>
      </c>
      <c r="F36" s="8" t="n">
        <f aca="false">(E36-D36)*86400</f>
        <v>13</v>
      </c>
      <c r="G36" s="7" t="n">
        <f aca="false">D36+9/24</f>
        <v>46297.5426157407</v>
      </c>
      <c r="H36" s="7" t="n">
        <f aca="false">E36+9/24</f>
        <v>46297.5427662037</v>
      </c>
    </row>
    <row r="37" customFormat="false" ht="15" hidden="false" customHeight="true" outlineLevel="0" collapsed="false">
      <c r="A37" s="6" t="s">
        <v>27</v>
      </c>
      <c r="B37" s="6" t="s">
        <v>16</v>
      </c>
      <c r="C37" s="6" t="s">
        <v>17</v>
      </c>
      <c r="D37" s="7" t="n">
        <v>46297.1714699074</v>
      </c>
      <c r="E37" s="7" t="n">
        <v>46297.1716087963</v>
      </c>
      <c r="F37" s="8" t="n">
        <f aca="false">(E37-D37)*86400</f>
        <v>12</v>
      </c>
      <c r="G37" s="7" t="n">
        <f aca="false">D37+9/24</f>
        <v>46297.5464699074</v>
      </c>
      <c r="H37" s="7" t="n">
        <f aca="false">E37+9/24</f>
        <v>46297.5466087963</v>
      </c>
    </row>
    <row r="38" customFormat="false" ht="15" hidden="false" customHeight="true" outlineLevel="0" collapsed="false">
      <c r="A38" s="6" t="s">
        <v>27</v>
      </c>
      <c r="B38" s="6" t="s">
        <v>18</v>
      </c>
      <c r="C38" s="6" t="s">
        <v>19</v>
      </c>
      <c r="D38" s="7" t="n">
        <v>46297.1746875</v>
      </c>
      <c r="E38" s="7" t="n">
        <v>46297.174849537</v>
      </c>
      <c r="F38" s="8" t="n">
        <f aca="false">(E38-D38)*86400</f>
        <v>13.999998872</v>
      </c>
      <c r="G38" s="7" t="n">
        <f aca="false">D38+9/24</f>
        <v>46297.5496875</v>
      </c>
      <c r="H38" s="7" t="n">
        <f aca="false">E38+9/24</f>
        <v>46297.549849537</v>
      </c>
    </row>
    <row r="39" customFormat="false" ht="15" hidden="false" customHeight="true" outlineLevel="0" collapsed="false">
      <c r="A39" s="6" t="s">
        <v>27</v>
      </c>
      <c r="B39" s="6" t="s">
        <v>20</v>
      </c>
      <c r="C39" s="6" t="s">
        <v>21</v>
      </c>
      <c r="D39" s="7" t="n">
        <v>46297.1781712963</v>
      </c>
      <c r="E39" s="7" t="n">
        <v>46297.1783333333</v>
      </c>
      <c r="F39" s="8" t="n">
        <f aca="false">(E39-D39)*86400</f>
        <v>14</v>
      </c>
      <c r="G39" s="7" t="n">
        <f aca="false">D39+9/24</f>
        <v>46297.5531712963</v>
      </c>
      <c r="H39" s="7" t="n">
        <f aca="false">E39+9/24</f>
        <v>46297.5533333333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8" min="2" style="1" width="13"/>
  </cols>
  <sheetData>
    <row r="1" customFormat="false" ht="21" hidden="false" customHeight="true" outlineLevel="0" collapsed="false">
      <c r="A1" s="2" t="s">
        <v>28</v>
      </c>
    </row>
    <row r="2" customFormat="false" ht="15" hidden="false" customHeight="true" outlineLevel="0" collapsed="false">
      <c r="A2" s="3" t="s">
        <v>29</v>
      </c>
    </row>
    <row r="4" customFormat="false" ht="27.75" hidden="false" customHeight="true" outlineLevel="0" collapsed="false">
      <c r="A4" s="9" t="s">
        <v>3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34</v>
      </c>
      <c r="G4" s="10" t="s">
        <v>35</v>
      </c>
      <c r="H4" s="10" t="s">
        <v>36</v>
      </c>
    </row>
    <row r="5" customFormat="false" ht="15" hidden="false" customHeight="true" outlineLevel="0" collapsed="false">
      <c r="A5" s="6" t="s">
        <v>11</v>
      </c>
      <c r="B5" s="8" t="n">
        <f aca="false">SUMIFS('Raw Data'!$F$5:$F$39,'Raw Data'!$A$5:$A$39,$A5,'Raw Data'!$B$5:$B$39,"Run1")</f>
        <v>4</v>
      </c>
      <c r="C5" s="8" t="n">
        <f aca="false">SUMIFS('Raw Data'!$F$5:$F$39,'Raw Data'!$A$5:$A$39,$A5,'Raw Data'!$B$5:$B$39,"Run2")</f>
        <v>5</v>
      </c>
      <c r="D5" s="8" t="n">
        <f aca="false">SUMIFS('Raw Data'!$F$5:$F$39,'Raw Data'!$A$5:$A$39,$A5,'Raw Data'!$B$5:$B$39,"Run3")</f>
        <v>6</v>
      </c>
      <c r="E5" s="8" t="n">
        <f aca="false">SUMIFS('Raw Data'!$F$5:$F$39,'Raw Data'!$A$5:$A$39,$A5,'Raw Data'!$B$5:$B$39,"Run4")</f>
        <v>5</v>
      </c>
      <c r="F5" s="8" t="n">
        <f aca="false">SUMIFS('Raw Data'!$F$5:$F$39,'Raw Data'!$A$5:$A$39,$A5,'Raw Data'!$B$5:$B$39,"Run5")</f>
        <v>5</v>
      </c>
      <c r="G5" s="11" t="n">
        <f aca="false">AVERAGE(B5:F5)</f>
        <v>5</v>
      </c>
      <c r="H5" s="11" t="n">
        <f aca="false">STDEVP(B5:F5)</f>
        <v>0.632455532033676</v>
      </c>
    </row>
    <row r="6" customFormat="false" ht="15" hidden="false" customHeight="true" outlineLevel="0" collapsed="false">
      <c r="A6" s="6" t="s">
        <v>22</v>
      </c>
      <c r="B6" s="8" t="n">
        <f aca="false">SUMIFS('Raw Data'!$F$5:$F$39,'Raw Data'!$A$5:$A$39,$A6,'Raw Data'!$B$5:$B$39,"Run1")</f>
        <v>51</v>
      </c>
      <c r="C6" s="8" t="n">
        <f aca="false">SUMIFS('Raw Data'!$F$5:$F$39,'Raw Data'!$A$5:$A$39,$A6,'Raw Data'!$B$5:$B$39,"Run2")</f>
        <v>39</v>
      </c>
      <c r="D6" s="8" t="n">
        <f aca="false">SUMIFS('Raw Data'!$F$5:$F$39,'Raw Data'!$A$5:$A$39,$A6,'Raw Data'!$B$5:$B$39,"Run3")</f>
        <v>50</v>
      </c>
      <c r="E6" s="8" t="n">
        <f aca="false">SUMIFS('Raw Data'!$F$5:$F$39,'Raw Data'!$A$5:$A$39,$A6,'Raw Data'!$B$5:$B$39,"Run4")</f>
        <v>48</v>
      </c>
      <c r="F6" s="8" t="n">
        <f aca="false">SUMIFS('Raw Data'!$F$5:$F$39,'Raw Data'!$A$5:$A$39,$A6,'Raw Data'!$B$5:$B$39,"Run5")</f>
        <v>55</v>
      </c>
      <c r="G6" s="11" t="n">
        <f aca="false">AVERAGE(B6:F6)</f>
        <v>48.6</v>
      </c>
      <c r="H6" s="11" t="n">
        <f aca="false">STDEVP(B6:F6)</f>
        <v>5.31413210223457</v>
      </c>
    </row>
    <row r="7" customFormat="false" ht="15" hidden="false" customHeight="true" outlineLevel="0" collapsed="false">
      <c r="A7" s="6" t="s">
        <v>23</v>
      </c>
      <c r="B7" s="8" t="n">
        <f aca="false">SUMIFS('Raw Data'!$F$5:$F$39,'Raw Data'!$A$5:$A$39,$A7,'Raw Data'!$B$5:$B$39,"Run1")</f>
        <v>90</v>
      </c>
      <c r="C7" s="8" t="n">
        <f aca="false">SUMIFS('Raw Data'!$F$5:$F$39,'Raw Data'!$A$5:$A$39,$A7,'Raw Data'!$B$5:$B$39,"Run2")</f>
        <v>87</v>
      </c>
      <c r="D7" s="8" t="n">
        <f aca="false">SUMIFS('Raw Data'!$F$5:$F$39,'Raw Data'!$A$5:$A$39,$A7,'Raw Data'!$B$5:$B$39,"Run3")</f>
        <v>91</v>
      </c>
      <c r="E7" s="8" t="n">
        <f aca="false">SUMIFS('Raw Data'!$F$5:$F$39,'Raw Data'!$A$5:$A$39,$A7,'Raw Data'!$B$5:$B$39,"Run4")</f>
        <v>88</v>
      </c>
      <c r="F7" s="8" t="n">
        <f aca="false">SUMIFS('Raw Data'!$F$5:$F$39,'Raw Data'!$A$5:$A$39,$A7,'Raw Data'!$B$5:$B$39,"Run5")</f>
        <v>80</v>
      </c>
      <c r="G7" s="11" t="n">
        <f aca="false">AVERAGE(B7:F7)</f>
        <v>87.2</v>
      </c>
      <c r="H7" s="11" t="n">
        <f aca="false">STDEVP(B7:F7)</f>
        <v>3.86781592116274</v>
      </c>
    </row>
    <row r="8" customFormat="false" ht="15" hidden="false" customHeight="true" outlineLevel="0" collapsed="false">
      <c r="A8" s="6" t="s">
        <v>24</v>
      </c>
      <c r="B8" s="8" t="n">
        <f aca="false">SUMIFS('Raw Data'!$F$5:$F$39,'Raw Data'!$A$5:$A$39,$A8,'Raw Data'!$B$5:$B$39,"Run1")</f>
        <v>23</v>
      </c>
      <c r="C8" s="8" t="n">
        <f aca="false">SUMIFS('Raw Data'!$F$5:$F$39,'Raw Data'!$A$5:$A$39,$A8,'Raw Data'!$B$5:$B$39,"Run2")</f>
        <v>27</v>
      </c>
      <c r="D8" s="8" t="n">
        <f aca="false">SUMIFS('Raw Data'!$F$5:$F$39,'Raw Data'!$A$5:$A$39,$A8,'Raw Data'!$B$5:$B$39,"Run3")</f>
        <v>25</v>
      </c>
      <c r="E8" s="8" t="n">
        <f aca="false">SUMIFS('Raw Data'!$F$5:$F$39,'Raw Data'!$A$5:$A$39,$A8,'Raw Data'!$B$5:$B$39,"Run4")</f>
        <v>27</v>
      </c>
      <c r="F8" s="8" t="n">
        <f aca="false">SUMIFS('Raw Data'!$F$5:$F$39,'Raw Data'!$A$5:$A$39,$A8,'Raw Data'!$B$5:$B$39,"Run5")</f>
        <v>22</v>
      </c>
      <c r="G8" s="11" t="n">
        <f aca="false">AVERAGE(B8:F8)</f>
        <v>24.8</v>
      </c>
      <c r="H8" s="11" t="n">
        <f aca="false">STDEVP(B8:F8)</f>
        <v>2.03960780543711</v>
      </c>
    </row>
    <row r="9" customFormat="false" ht="15" hidden="false" customHeight="true" outlineLevel="0" collapsed="false">
      <c r="A9" s="6" t="s">
        <v>25</v>
      </c>
      <c r="B9" s="8" t="n">
        <f aca="false">SUMIFS('Raw Data'!$F$5:$F$39,'Raw Data'!$A$5:$A$39,$A9,'Raw Data'!$B$5:$B$39,"Run1")</f>
        <v>65</v>
      </c>
      <c r="C9" s="8" t="n">
        <f aca="false">SUMIFS('Raw Data'!$F$5:$F$39,'Raw Data'!$A$5:$A$39,$A9,'Raw Data'!$B$5:$B$39,"Run2")</f>
        <v>39</v>
      </c>
      <c r="D9" s="8" t="n">
        <f aca="false">SUMIFS('Raw Data'!$F$5:$F$39,'Raw Data'!$A$5:$A$39,$A9,'Raw Data'!$B$5:$B$39,"Run3")</f>
        <v>47</v>
      </c>
      <c r="E9" s="8" t="n">
        <f aca="false">SUMIFS('Raw Data'!$F$5:$F$39,'Raw Data'!$A$5:$A$39,$A9,'Raw Data'!$B$5:$B$39,"Run4")</f>
        <v>35</v>
      </c>
      <c r="F9" s="8" t="n">
        <f aca="false">SUMIFS('Raw Data'!$F$5:$F$39,'Raw Data'!$A$5:$A$39,$A9,'Raw Data'!$B$5:$B$39,"Run5")</f>
        <v>39</v>
      </c>
      <c r="G9" s="11" t="n">
        <f aca="false">AVERAGE(B9:F9)</f>
        <v>45</v>
      </c>
      <c r="H9" s="11" t="n">
        <f aca="false">STDEVP(B9:F9)</f>
        <v>10.733126291999</v>
      </c>
    </row>
    <row r="10" customFormat="false" ht="15" hidden="false" customHeight="true" outlineLevel="0" collapsed="false">
      <c r="A10" s="6" t="s">
        <v>26</v>
      </c>
      <c r="B10" s="8" t="n">
        <f aca="false">SUMIFS('Raw Data'!$F$5:$F$39,'Raw Data'!$A$5:$A$39,$A10,'Raw Data'!$B$5:$B$39,"Run1")</f>
        <v>33</v>
      </c>
      <c r="C10" s="8" t="n">
        <f aca="false">SUMIFS('Raw Data'!$F$5:$F$39,'Raw Data'!$A$5:$A$39,$A10,'Raw Data'!$B$5:$B$39,"Run2")</f>
        <v>31</v>
      </c>
      <c r="D10" s="8" t="n">
        <f aca="false">SUMIFS('Raw Data'!$F$5:$F$39,'Raw Data'!$A$5:$A$39,$A10,'Raw Data'!$B$5:$B$39,"Run3")</f>
        <v>36.99999859</v>
      </c>
      <c r="E10" s="8" t="n">
        <f aca="false">SUMIFS('Raw Data'!$F$5:$F$39,'Raw Data'!$A$5:$A$39,$A10,'Raw Data'!$B$5:$B$39,"Run4")</f>
        <v>31</v>
      </c>
      <c r="F10" s="8" t="n">
        <f aca="false">SUMIFS('Raw Data'!$F$5:$F$39,'Raw Data'!$A$5:$A$39,$A10,'Raw Data'!$B$5:$B$39,"Run5")</f>
        <v>29.99999884</v>
      </c>
      <c r="G10" s="11" t="n">
        <f aca="false">AVERAGE(B10:F10)</f>
        <v>32.399999486</v>
      </c>
      <c r="H10" s="11" t="n">
        <f aca="false">STDEVP(B10:F10)</f>
        <v>2.49799890296221</v>
      </c>
    </row>
    <row r="11" customFormat="false" ht="15" hidden="false" customHeight="true" outlineLevel="0" collapsed="false">
      <c r="A11" s="6" t="s">
        <v>27</v>
      </c>
      <c r="B11" s="8" t="n">
        <f aca="false">SUMIFS('Raw Data'!$F$5:$F$39,'Raw Data'!$A$5:$A$39,$A11,'Raw Data'!$B$5:$B$39,"Run1")</f>
        <v>14</v>
      </c>
      <c r="C11" s="8" t="n">
        <f aca="false">SUMIFS('Raw Data'!$F$5:$F$39,'Raw Data'!$A$5:$A$39,$A11,'Raw Data'!$B$5:$B$39,"Run2")</f>
        <v>13</v>
      </c>
      <c r="D11" s="8" t="n">
        <f aca="false">SUMIFS('Raw Data'!$F$5:$F$39,'Raw Data'!$A$5:$A$39,$A11,'Raw Data'!$B$5:$B$39,"Run3")</f>
        <v>12</v>
      </c>
      <c r="E11" s="8" t="n">
        <f aca="false">SUMIFS('Raw Data'!$F$5:$F$39,'Raw Data'!$A$5:$A$39,$A11,'Raw Data'!$B$5:$B$39,"Run4")</f>
        <v>13.999998872</v>
      </c>
      <c r="F11" s="8" t="n">
        <f aca="false">SUMIFS('Raw Data'!$F$5:$F$39,'Raw Data'!$A$5:$A$39,$A11,'Raw Data'!$B$5:$B$39,"Run5")</f>
        <v>14</v>
      </c>
      <c r="G11" s="11" t="n">
        <f aca="false">AVERAGE(B11:F11)</f>
        <v>13.3999997744</v>
      </c>
      <c r="H11" s="11" t="n">
        <f aca="false">STDEVP(B11:F11)</f>
        <v>0.79999983080011</v>
      </c>
    </row>
    <row r="12" customFormat="false" ht="16.5" hidden="false" customHeight="true" outlineLevel="0" collapsed="false">
      <c r="A12" s="12" t="s">
        <v>37</v>
      </c>
      <c r="B12" s="13" t="n">
        <f aca="false">SUM(B5:B11)</f>
        <v>280</v>
      </c>
      <c r="C12" s="13" t="n">
        <f aca="false">SUM(C5:C11)</f>
        <v>241</v>
      </c>
      <c r="D12" s="13" t="n">
        <f aca="false">SUM(D5:D11)</f>
        <v>267.99999859</v>
      </c>
      <c r="E12" s="13" t="n">
        <f aca="false">SUM(E5:E11)</f>
        <v>247.999998872</v>
      </c>
      <c r="F12" s="13" t="n">
        <f aca="false">SUM(F5:F11)</f>
        <v>244.99999884</v>
      </c>
      <c r="G12" s="14" t="n">
        <f aca="false">AVERAGE(B12:F12)</f>
        <v>256.3999992604</v>
      </c>
      <c r="H12" s="14" t="n">
        <f aca="false">STDEVP(B12:F12)</f>
        <v>15.0279739997539</v>
      </c>
    </row>
    <row r="13" customFormat="false" ht="16.5" hidden="false" customHeight="true" outlineLevel="0" collapsed="false">
      <c r="A13" s="15" t="s">
        <v>38</v>
      </c>
      <c r="B13" s="13" t="n">
        <f aca="false">(_xlfn.MAXIFS('Raw Data'!$E$5:$E$39,'Raw Data'!$B$5:$B$39,"Run1")-_xlfn.MINIFS('Raw Data'!$D$5:$D$39,'Raw Data'!$B$5:$B$39,"Run1"))*86400</f>
        <v>297.999999881722</v>
      </c>
      <c r="C13" s="13" t="n">
        <f aca="false">(_xlfn.MAXIFS('Raw Data'!$E$5:$E$39,'Raw Data'!$B$5:$B$39,"Run2")-_xlfn.MINIFS('Raw Data'!$D$5:$D$39,'Raw Data'!$B$5:$B$39,"Run2"))*86400</f>
        <v>257.999999332242</v>
      </c>
      <c r="D13" s="13" t="n">
        <f aca="false">(_xlfn.MAXIFS('Raw Data'!$E$5:$E$39,'Raw Data'!$B$5:$B$39,"Run3")-_xlfn.MINIFS('Raw Data'!$D$5:$D$39,'Raw Data'!$B$5:$B$39,"Run3"))*86400</f>
        <v>284.99999998603</v>
      </c>
      <c r="E13" s="13" t="n">
        <f aca="false">(_xlfn.MAXIFS('Raw Data'!$E$5:$E$39,'Raw Data'!$B$5:$B$39,"Run4")-_xlfn.MINIFS('Raw Data'!$D$5:$D$39,'Raw Data'!$B$5:$B$39,"Run4"))*86400</f>
        <v>262.999999872409</v>
      </c>
      <c r="F13" s="13" t="n">
        <f aca="false">(_xlfn.MAXIFS('Raw Data'!$E$5:$E$39,'Raw Data'!$B$5:$B$39,"Run5")-_xlfn.MINIFS('Raw Data'!$D$5:$D$39,'Raw Data'!$B$5:$B$39,"Run5"))*86400</f>
        <v>260.000000428408</v>
      </c>
      <c r="G13" s="14" t="n">
        <f aca="false">AVERAGE(B13:F13)</f>
        <v>272.799999900162</v>
      </c>
      <c r="H13" s="14" t="n">
        <f aca="false">STDEVP(B13:F13)</f>
        <v>15.892136451699</v>
      </c>
    </row>
    <row r="14" customFormat="false" ht="15" hidden="false" customHeight="true" outlineLevel="0" collapsed="false">
      <c r="A14" s="16" t="s">
        <v>39</v>
      </c>
      <c r="B14" s="17" t="n">
        <f aca="false">B13-B12</f>
        <v>17.999999881722</v>
      </c>
      <c r="C14" s="17" t="n">
        <f aca="false">C13-C12</f>
        <v>16.9999993322417</v>
      </c>
      <c r="D14" s="17" t="n">
        <f aca="false">D13-D12</f>
        <v>17.0000013960301</v>
      </c>
      <c r="E14" s="17" t="n">
        <f aca="false">E13-E12</f>
        <v>15.0000010004088</v>
      </c>
      <c r="F14" s="17" t="n">
        <f aca="false">F13-F12</f>
        <v>15.0000015884084</v>
      </c>
      <c r="G14" s="18"/>
      <c r="H14" s="18"/>
    </row>
    <row r="16" customFormat="false" ht="15" hidden="false" customHeight="true" outlineLevel="0" collapsed="false">
      <c r="A16" s="19" t="s">
        <v>40</v>
      </c>
    </row>
    <row r="17" customFormat="false" ht="15" hidden="false" customHeight="true" outlineLevel="0" collapsed="false">
      <c r="A17" s="19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8"/>
  </cols>
  <sheetData>
    <row r="1" customFormat="false" ht="21" hidden="false" customHeight="true" outlineLevel="0" collapsed="false">
      <c r="A1" s="20" t="s">
        <v>42</v>
      </c>
    </row>
    <row r="2" customFormat="false" ht="15" hidden="false" customHeight="true" outlineLevel="0" collapsed="false">
      <c r="A2" s="21" t="s">
        <v>43</v>
      </c>
    </row>
    <row r="4" customFormat="false" ht="27.75" hidden="false" customHeight="true" outlineLevel="0" collapsed="false">
      <c r="A4" s="9" t="s">
        <v>3</v>
      </c>
      <c r="B4" s="9" t="s">
        <v>30</v>
      </c>
      <c r="C4" s="9" t="s">
        <v>44</v>
      </c>
      <c r="D4" s="10" t="s">
        <v>45</v>
      </c>
      <c r="E4" s="10" t="s">
        <v>46</v>
      </c>
    </row>
    <row r="5" customFormat="false" ht="15" hidden="false" customHeight="true" outlineLevel="0" collapsed="false">
      <c r="A5" s="6" t="s">
        <v>11</v>
      </c>
      <c r="B5" s="8" t="n">
        <f aca="false">Summary!B5</f>
        <v>4</v>
      </c>
      <c r="C5" s="11" t="n">
        <f aca="false">AVERAGE(Summary!C5:F5)</f>
        <v>5.25</v>
      </c>
      <c r="D5" s="11" t="n">
        <f aca="false">B5-C5</f>
        <v>-1.25</v>
      </c>
      <c r="E5" s="22" t="n">
        <f aca="false">IFERROR(D5/C5,0)</f>
        <v>-0.238095238095238</v>
      </c>
    </row>
    <row r="6" customFormat="false" ht="15" hidden="false" customHeight="true" outlineLevel="0" collapsed="false">
      <c r="A6" s="6" t="s">
        <v>22</v>
      </c>
      <c r="B6" s="8" t="n">
        <f aca="false">Summary!B6</f>
        <v>51</v>
      </c>
      <c r="C6" s="11" t="n">
        <f aca="false">AVERAGE(Summary!C6:F6)</f>
        <v>48</v>
      </c>
      <c r="D6" s="11" t="n">
        <f aca="false">B6-C6</f>
        <v>3</v>
      </c>
      <c r="E6" s="22" t="n">
        <f aca="false">IFERROR(D6/C6,0)</f>
        <v>0.0625</v>
      </c>
    </row>
    <row r="7" customFormat="false" ht="15" hidden="false" customHeight="true" outlineLevel="0" collapsed="false">
      <c r="A7" s="6" t="s">
        <v>23</v>
      </c>
      <c r="B7" s="8" t="n">
        <f aca="false">Summary!B7</f>
        <v>90</v>
      </c>
      <c r="C7" s="11" t="n">
        <f aca="false">AVERAGE(Summary!C7:F7)</f>
        <v>86.5</v>
      </c>
      <c r="D7" s="11" t="n">
        <f aca="false">B7-C7</f>
        <v>3.5</v>
      </c>
      <c r="E7" s="22" t="n">
        <f aca="false">IFERROR(D7/C7,0)</f>
        <v>0.0404624277456647</v>
      </c>
    </row>
    <row r="8" customFormat="false" ht="15" hidden="false" customHeight="true" outlineLevel="0" collapsed="false">
      <c r="A8" s="6" t="s">
        <v>24</v>
      </c>
      <c r="B8" s="8" t="n">
        <f aca="false">Summary!B8</f>
        <v>23</v>
      </c>
      <c r="C8" s="11" t="n">
        <f aca="false">AVERAGE(Summary!C8:F8)</f>
        <v>25.25</v>
      </c>
      <c r="D8" s="11" t="n">
        <f aca="false">B8-C8</f>
        <v>-2.25</v>
      </c>
      <c r="E8" s="22" t="n">
        <f aca="false">IFERROR(D8/C8,0)</f>
        <v>-0.0891089108910891</v>
      </c>
    </row>
    <row r="9" customFormat="false" ht="15" hidden="false" customHeight="true" outlineLevel="0" collapsed="false">
      <c r="A9" s="6" t="s">
        <v>25</v>
      </c>
      <c r="B9" s="8" t="n">
        <f aca="false">Summary!B9</f>
        <v>65</v>
      </c>
      <c r="C9" s="11" t="n">
        <f aca="false">AVERAGE(Summary!C9:F9)</f>
        <v>40</v>
      </c>
      <c r="D9" s="11" t="n">
        <f aca="false">B9-C9</f>
        <v>25</v>
      </c>
      <c r="E9" s="22" t="n">
        <f aca="false">IFERROR(D9/C9,0)</f>
        <v>0.625</v>
      </c>
    </row>
    <row r="10" customFormat="false" ht="15" hidden="false" customHeight="true" outlineLevel="0" collapsed="false">
      <c r="A10" s="6" t="s">
        <v>26</v>
      </c>
      <c r="B10" s="8" t="n">
        <f aca="false">Summary!B10</f>
        <v>33</v>
      </c>
      <c r="C10" s="11" t="n">
        <f aca="false">AVERAGE(Summary!C10:F10)</f>
        <v>32.2499993575</v>
      </c>
      <c r="D10" s="11" t="n">
        <f aca="false">B10-C10</f>
        <v>0.750000642499998</v>
      </c>
      <c r="E10" s="22" t="n">
        <f aca="false">IFERROR(D10/C10,0)</f>
        <v>0.0232558343392828</v>
      </c>
    </row>
    <row r="11" customFormat="false" ht="15" hidden="false" customHeight="true" outlineLevel="0" collapsed="false">
      <c r="A11" s="6" t="s">
        <v>27</v>
      </c>
      <c r="B11" s="8" t="n">
        <f aca="false">Summary!B11</f>
        <v>14</v>
      </c>
      <c r="C11" s="11" t="n">
        <f aca="false">AVERAGE(Summary!C11:F11)</f>
        <v>13.249999718</v>
      </c>
      <c r="D11" s="11" t="n">
        <f aca="false">B11-C11</f>
        <v>0.750000282</v>
      </c>
      <c r="E11" s="22" t="n">
        <f aca="false">IFERROR(D11/C11,0)</f>
        <v>0.0566037960726242</v>
      </c>
    </row>
    <row r="12" customFormat="false" ht="16.5" hidden="false" customHeight="true" outlineLevel="0" collapsed="false">
      <c r="A12" s="12" t="s">
        <v>37</v>
      </c>
      <c r="B12" s="13" t="n">
        <f aca="false">Summary!B12</f>
        <v>280</v>
      </c>
      <c r="C12" s="14" t="n">
        <f aca="false">AVERAGE(Summary!C12:F12)</f>
        <v>250.4999990755</v>
      </c>
      <c r="D12" s="14" t="n">
        <f aca="false">B12-C12</f>
        <v>29.5000009245</v>
      </c>
      <c r="E12" s="23" t="n">
        <f aca="false">IFERROR(D12/C12,0)</f>
        <v>0.117764475183127</v>
      </c>
    </row>
    <row r="13" customFormat="false" ht="16.5" hidden="false" customHeight="true" outlineLevel="0" collapsed="false">
      <c r="A13" s="15" t="s">
        <v>38</v>
      </c>
      <c r="B13" s="13" t="n">
        <f aca="false">Summary!B13</f>
        <v>297.999999881722</v>
      </c>
      <c r="C13" s="14" t="n">
        <f aca="false">AVERAGE(Summary!C13:F13)</f>
        <v>266.499999904772</v>
      </c>
      <c r="D13" s="14" t="n">
        <f aca="false">B13-C13</f>
        <v>31.4999999769498</v>
      </c>
      <c r="E13" s="23" t="n">
        <f aca="false">IFERROR(D13/C13,0)</f>
        <v>0.118198874252179</v>
      </c>
    </row>
    <row r="15" customFormat="false" ht="15" hidden="false" customHeight="true" outlineLevel="0" collapsed="false">
      <c r="A15" s="19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2026-10-03T23:58:02Z</dcterms:created>
  <dc:creator>openpyxl</dc:creator>
  <dc:description/>
  <dc:language>en-US</dc:language>
  <cp:lastModifiedBy/>
  <dcterms:modified xsi:type="dcterms:W3CDTF">2026-10-06T14:02:40Z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